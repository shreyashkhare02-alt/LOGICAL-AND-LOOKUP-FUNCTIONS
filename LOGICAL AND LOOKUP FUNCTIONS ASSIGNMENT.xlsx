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4B4F0C9-3941-4D07-B756-FB908E6C6D2E}" xr6:coauthVersionLast="47" xr6:coauthVersionMax="47" xr10:uidLastSave="{00000000-0000-0000-0000-000000000000}"/>
  <bookViews>
    <workbookView xWindow="-108" yWindow="-108" windowWidth="23256" windowHeight="12456" xr2:uid="{A6A34E55-64E1-4370-A42E-8EFFA92794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/>
  <c r="K32" i="1" a="1"/>
  <c r="K32" i="1" s="1"/>
  <c r="L21" i="1"/>
  <c r="K11" i="1"/>
  <c r="N7" i="2"/>
  <c r="L63" i="1"/>
  <c r="L64" i="1"/>
  <c r="L65" i="1"/>
  <c r="K22" i="2"/>
  <c r="K47" i="1"/>
  <c r="K33" i="1" a="1"/>
  <c r="K33" i="1"/>
  <c r="K34" i="1" a="1"/>
  <c r="K34" i="1"/>
  <c r="K35" i="1" a="1"/>
  <c r="K35" i="1"/>
  <c r="K36" i="1" a="1"/>
  <c r="K36" i="1"/>
  <c r="L22" i="1"/>
  <c r="L23" i="1"/>
  <c r="L24" i="1"/>
  <c r="K12" i="1"/>
  <c r="K13" i="1"/>
  <c r="K14" i="1"/>
  <c r="K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<sst xmlns="http://schemas.openxmlformats.org/spreadsheetml/2006/main" count="101" uniqueCount="81">
  <si>
    <t>ASSIGNMENT : Logical Functions &amp; Lookup</t>
  </si>
  <si>
    <t>QUESTIONS AND ASWERS ARE BELOW :</t>
  </si>
  <si>
    <t>STUDENT NAMES</t>
  </si>
  <si>
    <t>MARKS</t>
  </si>
  <si>
    <t>Riya</t>
  </si>
  <si>
    <t>Siya</t>
  </si>
  <si>
    <t>Raju</t>
  </si>
  <si>
    <t>Rahul</t>
  </si>
  <si>
    <t>Ram</t>
  </si>
  <si>
    <t xml:space="preserve">            ANS</t>
  </si>
  <si>
    <t>PASS/FAIL</t>
  </si>
  <si>
    <t>ANS</t>
  </si>
  <si>
    <t>Employee</t>
  </si>
  <si>
    <t>Arjun</t>
  </si>
  <si>
    <t>Simran</t>
  </si>
  <si>
    <t>Rohit</t>
  </si>
  <si>
    <t>Anjali</t>
  </si>
  <si>
    <t>Sales</t>
  </si>
  <si>
    <t>Attendance</t>
  </si>
  <si>
    <t>Bonus/NO Bonus</t>
  </si>
  <si>
    <t xml:space="preserve">     ,=IF(AND(Sales&gt;40000, attendance&gt;=90), "Bonus", "No Bonus")</t>
  </si>
  <si>
    <t xml:space="preserve">A company gives a bonus  if sales are above 40,000 and attendance is greater than or equal to 90%. </t>
  </si>
  <si>
    <t xml:space="preserve">Write a nested IF formula </t>
  </si>
  <si>
    <t>RAJ</t>
  </si>
  <si>
    <t xml:space="preserve">NEHA </t>
  </si>
  <si>
    <t>VIVEK</t>
  </si>
  <si>
    <t xml:space="preserve">RANI </t>
  </si>
  <si>
    <t xml:space="preserve">SNEHA </t>
  </si>
  <si>
    <t>FAIL/A/B/C</t>
  </si>
  <si>
    <t>Write a formula to check if the marks in cell are greater than or equal to 40. If yes, return"Pass"otherwise "Fail"?</t>
  </si>
  <si>
    <t xml:space="preserve"> Write a formula to calculate whether the employee will get a bonus or not?</t>
  </si>
  <si>
    <t>If marks in  B2  are ≥ 90 → A , ≥ 75 →B , ≥ 50 → C, otherwise FAIL?</t>
  </si>
  <si>
    <t>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</si>
  <si>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</si>
  <si>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</si>
  <si>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</si>
  <si>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</si>
  <si>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</si>
  <si>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</si>
  <si>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</si>
  <si>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</si>
  <si>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</si>
  <si>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</si>
  <si>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</si>
  <si>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</si>
  <si>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The LOOKUP function used is VLOOKUP , because it is the most straightforward way to search for a value in the first column (EmpID) and return the corresponding department.</t>
  </si>
  <si>
    <t xml:space="preserve">                   -&gt;</t>
  </si>
  <si>
    <t>A company has set the following commission structure for its sales team?</t>
  </si>
  <si>
    <t>Sales Amount</t>
  </si>
  <si>
    <t xml:space="preserve"> Comission Rates</t>
  </si>
  <si>
    <t xml:space="preserve">                                      -&gt;</t>
  </si>
  <si>
    <t>Salary</t>
  </si>
  <si>
    <t>E105</t>
  </si>
  <si>
    <t>E106</t>
  </si>
  <si>
    <t>Find the salary of EmpID = E105 using INDEX-MATCH Function.</t>
  </si>
  <si>
    <t>U se the XLOOKUP function to find the Department of the employee with Emp ID = E303</t>
  </si>
  <si>
    <t>E303</t>
  </si>
  <si>
    <t>E301</t>
  </si>
  <si>
    <t>,=XLOOKUP("E303",J16:J20,K16:K20)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</si>
  <si>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</si>
  <si>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</si>
  <si>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</si>
  <si>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</si>
  <si>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</si>
  <si>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</si>
  <si>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</si>
  <si>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 Otherwise,display "OK".</t>
  </si>
  <si>
    <t>The HR department maintains the following leave records of employees:onus or not?</t>
  </si>
  <si>
    <t xml:space="preserve">                                     =</t>
  </si>
  <si>
    <t xml:space="preserve">          ANS</t>
  </si>
  <si>
    <t xml:space="preserve">           ANS </t>
  </si>
  <si>
    <t xml:space="preserve">              -&gt;</t>
  </si>
  <si>
    <t xml:space="preserve">               -&gt;</t>
  </si>
  <si>
    <t>Result</t>
  </si>
  <si>
    <t>,=IF(J63&gt;K63,"Exceeded",   "OK")</t>
  </si>
  <si>
    <t>,=INDEX(K6:K10, MATCH("E105", J6:J10, 0))</t>
  </si>
  <si>
    <t xml:space="preserve">          ANS </t>
  </si>
  <si>
    <t xml:space="preserve">              ,=IF(J11&gt;40,"PASS","FAIL")</t>
  </si>
  <si>
    <t xml:space="preserve">             ,=IFS(J32&gt;=90,"A",J32&gt;=75,"B",J32&gt;=50,"C")</t>
  </si>
  <si>
    <t xml:space="preserve">                    ,=VLOOKUP(45000, I52:J56, 2, TRUE)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</si>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</sst>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4" fillId="0" borderId="0" xfId="0" applyFont="1"/>
    <xf numFmtId="3" fontId="0" fillId="0" borderId="1" xfId="0" applyNumberFormat="1" applyBorder="1"/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0" xfId="0" applyFont="1"/>
    <xf numFmtId="0" fontId="5" fillId="3" borderId="0" xfId="0" applyFont="1" applyFill="1"/>
    <xf numFmtId="10" fontId="0" fillId="7" borderId="0" xfId="0" applyNumberFormat="1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8FC1-99E5-4A65-9629-50C86682D23B}">
  <dimension ref="G3:V70"/>
  <sheetViews>
    <sheetView tabSelected="1" topLeftCell="A21" workbookViewId="0">
      <selection activeCell="H28" sqref="H28"/>
    </sheetView>
  </sheetViews>
  <sheetFormatPr defaultRowHeight="14.4" x14ac:dyDescent="0.3"/>
  <cols>
    <col min="7" max="7" width="7.5546875" customWidth="1"/>
    <col min="9" max="9" width="15.6640625" customWidth="1"/>
    <col min="10" max="10" width="14.88671875" customWidth="1"/>
    <col min="11" max="11" width="17.88671875" customWidth="1"/>
    <col min="12" max="12" width="18.44140625" customWidth="1"/>
  </cols>
  <sheetData>
    <row r="3" spans="8:15" ht="23.4" x14ac:dyDescent="0.45">
      <c r="I3" s="2" t="s">
        <v>0</v>
      </c>
      <c r="J3" s="3"/>
      <c r="K3" s="3"/>
      <c r="L3" s="3"/>
      <c r="M3" s="1"/>
      <c r="N3" s="1"/>
      <c r="O3" s="1"/>
    </row>
    <row r="5" spans="8:15" ht="18" x14ac:dyDescent="0.35">
      <c r="J5" s="5" t="s">
        <v>1</v>
      </c>
      <c r="K5" s="5"/>
      <c r="L5" s="5"/>
      <c r="M5" s="21"/>
    </row>
    <row r="8" spans="8:15" x14ac:dyDescent="0.3">
      <c r="H8">
        <v>1</v>
      </c>
      <c r="I8" s="1" t="s">
        <v>29</v>
      </c>
      <c r="J8" s="1"/>
      <c r="K8" s="1"/>
      <c r="L8" s="1"/>
      <c r="M8" s="1"/>
      <c r="N8" s="1"/>
      <c r="O8" s="1"/>
    </row>
    <row r="10" spans="8:15" x14ac:dyDescent="0.3">
      <c r="H10" t="s">
        <v>9</v>
      </c>
      <c r="I10" s="6" t="s">
        <v>2</v>
      </c>
      <c r="J10" s="6" t="s">
        <v>3</v>
      </c>
      <c r="K10" s="7" t="s">
        <v>10</v>
      </c>
    </row>
    <row r="11" spans="8:15" x14ac:dyDescent="0.3">
      <c r="I11" s="6" t="s">
        <v>4</v>
      </c>
      <c r="J11" s="6">
        <v>45</v>
      </c>
      <c r="K11" s="25" t="str">
        <f>IF(J11&gt;40,"PASS","FAIL")</f>
        <v>PASS</v>
      </c>
      <c r="L11" s="22" t="s">
        <v>77</v>
      </c>
      <c r="M11" s="4"/>
    </row>
    <row r="12" spans="8:15" x14ac:dyDescent="0.3">
      <c r="I12" s="6" t="s">
        <v>5</v>
      </c>
      <c r="J12" s="6">
        <v>72</v>
      </c>
      <c r="K12" s="25" t="str">
        <f t="shared" ref="K12:K15" si="0">IF(J12&gt;40,"PASS","FAIL")</f>
        <v>PASS</v>
      </c>
    </row>
    <row r="13" spans="8:15" x14ac:dyDescent="0.3">
      <c r="I13" s="6" t="s">
        <v>6</v>
      </c>
      <c r="J13" s="6">
        <v>55</v>
      </c>
      <c r="K13" s="25" t="str">
        <f t="shared" si="0"/>
        <v>PASS</v>
      </c>
    </row>
    <row r="14" spans="8:15" x14ac:dyDescent="0.3">
      <c r="I14" s="6" t="s">
        <v>7</v>
      </c>
      <c r="J14" s="6">
        <v>80</v>
      </c>
      <c r="K14" s="25" t="str">
        <f t="shared" si="0"/>
        <v>PASS</v>
      </c>
    </row>
    <row r="15" spans="8:15" x14ac:dyDescent="0.3">
      <c r="I15" s="6" t="s">
        <v>8</v>
      </c>
      <c r="J15" s="6">
        <v>30</v>
      </c>
      <c r="K15" s="25" t="str">
        <f t="shared" si="0"/>
        <v>FAIL</v>
      </c>
    </row>
    <row r="17" spans="8:14" x14ac:dyDescent="0.3">
      <c r="H17">
        <v>2</v>
      </c>
      <c r="I17" s="1" t="s">
        <v>21</v>
      </c>
      <c r="J17" s="1"/>
      <c r="K17" s="1"/>
      <c r="L17" s="1"/>
      <c r="M17" s="1"/>
      <c r="N17" s="1"/>
    </row>
    <row r="18" spans="8:14" x14ac:dyDescent="0.3">
      <c r="I18" s="1" t="s">
        <v>30</v>
      </c>
      <c r="J18" s="1"/>
      <c r="K18" s="1"/>
      <c r="L18" s="1"/>
    </row>
    <row r="20" spans="8:14" x14ac:dyDescent="0.3">
      <c r="H20" t="s">
        <v>69</v>
      </c>
      <c r="I20" s="8" t="s">
        <v>12</v>
      </c>
      <c r="J20" s="8" t="s">
        <v>17</v>
      </c>
      <c r="K20" s="8" t="s">
        <v>18</v>
      </c>
      <c r="L20" s="8" t="s">
        <v>19</v>
      </c>
    </row>
    <row r="21" spans="8:14" x14ac:dyDescent="0.3">
      <c r="I21" s="6" t="s">
        <v>13</v>
      </c>
      <c r="J21" s="6">
        <v>55000</v>
      </c>
      <c r="K21" s="6">
        <v>95</v>
      </c>
      <c r="L21" s="24" t="str">
        <f>IF(AND(J21&gt;40000,K21&gt;=90),"Bonus","No Bonus")</f>
        <v>Bonus</v>
      </c>
    </row>
    <row r="22" spans="8:14" x14ac:dyDescent="0.3">
      <c r="I22" s="6" t="s">
        <v>14</v>
      </c>
      <c r="J22" s="6">
        <v>65000</v>
      </c>
      <c r="K22" s="6">
        <v>85</v>
      </c>
      <c r="L22" s="24" t="str">
        <f t="shared" ref="L22:L24" si="1">IF(AND(J22&gt;40000,K22&gt;=90),"Bonus","No Bonus")</f>
        <v>No Bonus</v>
      </c>
      <c r="N22" s="6"/>
    </row>
    <row r="23" spans="8:14" x14ac:dyDescent="0.3">
      <c r="I23" s="6" t="s">
        <v>15</v>
      </c>
      <c r="J23" s="6">
        <v>30000</v>
      </c>
      <c r="K23" s="6">
        <v>90</v>
      </c>
      <c r="L23" s="24" t="str">
        <f t="shared" si="1"/>
        <v>No Bonus</v>
      </c>
    </row>
    <row r="24" spans="8:14" x14ac:dyDescent="0.3">
      <c r="I24" s="6" t="s">
        <v>16</v>
      </c>
      <c r="J24" s="6">
        <v>25000</v>
      </c>
      <c r="K24" s="6">
        <v>65</v>
      </c>
      <c r="L24" s="24" t="str">
        <f t="shared" si="1"/>
        <v>No Bonus</v>
      </c>
    </row>
    <row r="26" spans="8:14" x14ac:dyDescent="0.3">
      <c r="H26" t="s">
        <v>80</v>
      </c>
      <c r="I26" s="9" t="s">
        <v>20</v>
      </c>
      <c r="J26" s="9"/>
      <c r="K26" s="9"/>
      <c r="L26" s="9"/>
    </row>
    <row r="28" spans="8:14" x14ac:dyDescent="0.3">
      <c r="H28">
        <v>3</v>
      </c>
      <c r="I28" s="1" t="s">
        <v>22</v>
      </c>
      <c r="J28" s="1"/>
    </row>
    <row r="29" spans="8:14" x14ac:dyDescent="0.3">
      <c r="I29" s="1" t="s">
        <v>31</v>
      </c>
      <c r="J29" s="1"/>
      <c r="K29" s="1"/>
      <c r="L29" s="1"/>
    </row>
    <row r="31" spans="8:14" x14ac:dyDescent="0.3">
      <c r="H31" t="s">
        <v>70</v>
      </c>
      <c r="I31" s="8" t="s">
        <v>2</v>
      </c>
      <c r="J31" s="11" t="s">
        <v>3</v>
      </c>
      <c r="K31" s="11" t="s">
        <v>28</v>
      </c>
    </row>
    <row r="32" spans="8:14" x14ac:dyDescent="0.3">
      <c r="I32" s="6" t="s">
        <v>23</v>
      </c>
      <c r="J32" s="6">
        <v>85</v>
      </c>
      <c r="K32" s="26" t="str" cm="1">
        <f t="array" ref="K32">_xlfn.IFS(J32&gt;=90,"A",J32&gt;=75,"B",J32&gt;=50,"C")</f>
        <v>B</v>
      </c>
    </row>
    <row r="33" spans="7:22" x14ac:dyDescent="0.3">
      <c r="I33" s="6" t="s">
        <v>24</v>
      </c>
      <c r="J33" s="6">
        <v>96</v>
      </c>
      <c r="K33" s="26" t="str" cm="1">
        <f t="array" ref="K33">_xlfn.IFS(J33&gt;=90,"A",J33&gt;=75,"B",J33&gt;=50,"C")</f>
        <v>A</v>
      </c>
      <c r="L33" s="4" t="s">
        <v>78</v>
      </c>
      <c r="M33" s="4"/>
      <c r="N33" s="4"/>
      <c r="O33" s="4"/>
    </row>
    <row r="34" spans="7:22" x14ac:dyDescent="0.3">
      <c r="I34" s="6" t="s">
        <v>25</v>
      </c>
      <c r="J34" s="6">
        <v>57</v>
      </c>
      <c r="K34" s="26" t="str" cm="1">
        <f t="array" ref="K34">_xlfn.IFS(J34&gt;=90,"A",J34&gt;=75,"B",J34&gt;=50,"C")</f>
        <v>C</v>
      </c>
    </row>
    <row r="35" spans="7:22" x14ac:dyDescent="0.3">
      <c r="I35" s="6" t="s">
        <v>26</v>
      </c>
      <c r="J35" s="6">
        <v>92</v>
      </c>
      <c r="K35" s="26" t="str" cm="1">
        <f t="array" ref="K35">_xlfn.IFS(J35&gt;=90,"A",J35&gt;=75,"B",J35&gt;=50,"C")</f>
        <v>A</v>
      </c>
    </row>
    <row r="36" spans="7:22" x14ac:dyDescent="0.3">
      <c r="I36" s="6" t="s">
        <v>27</v>
      </c>
      <c r="J36" s="6">
        <v>75</v>
      </c>
      <c r="K36" s="26" t="str" cm="1">
        <f t="array" ref="K36">_xlfn.IFS(J36&gt;=90,"A",J36&gt;=75,"B",J36&gt;=50,"C")</f>
        <v>B</v>
      </c>
    </row>
    <row r="39" spans="7:22" x14ac:dyDescent="0.3">
      <c r="H39">
        <v>4</v>
      </c>
      <c r="I39" s="16" t="s">
        <v>32</v>
      </c>
      <c r="J39" s="16"/>
      <c r="K39" s="16"/>
      <c r="L39" s="16"/>
      <c r="M39" s="16"/>
      <c r="N39" s="16"/>
    </row>
    <row r="41" spans="7:22" x14ac:dyDescent="0.3">
      <c r="H41" t="s">
        <v>9</v>
      </c>
      <c r="I41" s="12" t="s">
        <v>33</v>
      </c>
      <c r="J41" s="12" t="s">
        <v>34</v>
      </c>
      <c r="K41" s="12" t="s">
        <v>35</v>
      </c>
    </row>
    <row r="42" spans="7:22" ht="15.6" customHeight="1" x14ac:dyDescent="0.3">
      <c r="I42" s="13" t="s">
        <v>36</v>
      </c>
      <c r="J42" s="13" t="s">
        <v>6</v>
      </c>
      <c r="K42" s="13" t="s">
        <v>37</v>
      </c>
    </row>
    <row r="43" spans="7:22" x14ac:dyDescent="0.3">
      <c r="I43" s="13" t="s">
        <v>38</v>
      </c>
      <c r="J43" s="13" t="s">
        <v>4</v>
      </c>
      <c r="K43" s="13" t="s">
        <v>39</v>
      </c>
    </row>
    <row r="44" spans="7:22" x14ac:dyDescent="0.3">
      <c r="I44" s="13" t="s">
        <v>40</v>
      </c>
      <c r="J44" s="13" t="s">
        <v>41</v>
      </c>
      <c r="K44" s="13" t="s">
        <v>42</v>
      </c>
    </row>
    <row r="45" spans="7:22" x14ac:dyDescent="0.3">
      <c r="I45" s="13" t="s">
        <v>43</v>
      </c>
      <c r="J45" s="13" t="s">
        <v>44</v>
      </c>
      <c r="K45" s="13" t="s">
        <v>17</v>
      </c>
    </row>
    <row r="47" spans="7:22" ht="14.4" customHeight="1" x14ac:dyDescent="0.3">
      <c r="I47" s="14"/>
      <c r="J47" s="14" t="s">
        <v>68</v>
      </c>
      <c r="K47" s="15" t="str">
        <f>VLOOKUP("E103", I41:K45, 3, FALSE)</f>
        <v>Finance</v>
      </c>
    </row>
    <row r="48" spans="7:22" ht="16.8" customHeight="1" x14ac:dyDescent="0.3">
      <c r="G48" t="s">
        <v>72</v>
      </c>
      <c r="H48" s="4" t="s">
        <v>45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50" spans="8:12" x14ac:dyDescent="0.3">
      <c r="H50">
        <v>5</v>
      </c>
      <c r="I50" s="1" t="s">
        <v>47</v>
      </c>
      <c r="J50" s="1"/>
      <c r="K50" s="1"/>
      <c r="L50" s="1"/>
    </row>
    <row r="51" spans="8:12" x14ac:dyDescent="0.3">
      <c r="H51" t="s">
        <v>69</v>
      </c>
    </row>
    <row r="52" spans="8:12" x14ac:dyDescent="0.3">
      <c r="I52" s="11" t="s">
        <v>48</v>
      </c>
      <c r="J52" s="11" t="s">
        <v>49</v>
      </c>
    </row>
    <row r="53" spans="8:12" x14ac:dyDescent="0.3">
      <c r="I53" s="10">
        <v>0</v>
      </c>
      <c r="J53" s="19">
        <v>0.05</v>
      </c>
      <c r="K53" s="17"/>
    </row>
    <row r="54" spans="8:12" x14ac:dyDescent="0.3">
      <c r="I54" s="20">
        <v>20000</v>
      </c>
      <c r="J54" s="19">
        <v>0.1</v>
      </c>
      <c r="K54" s="4" t="s">
        <v>79</v>
      </c>
      <c r="L54" s="4"/>
    </row>
    <row r="55" spans="8:12" x14ac:dyDescent="0.3">
      <c r="I55" s="20">
        <v>50000</v>
      </c>
      <c r="J55" s="19">
        <v>0.15</v>
      </c>
    </row>
    <row r="56" spans="8:12" x14ac:dyDescent="0.3">
      <c r="I56" s="20">
        <v>80000</v>
      </c>
      <c r="J56" s="19">
        <v>0.2</v>
      </c>
    </row>
    <row r="58" spans="8:12" x14ac:dyDescent="0.3">
      <c r="I58" t="s">
        <v>50</v>
      </c>
      <c r="J58" s="23">
        <f>VLOOKUP(45000, I52:J56, 2, TRUE)</f>
        <v>0.1</v>
      </c>
    </row>
    <row r="60" spans="8:12" x14ac:dyDescent="0.3">
      <c r="H60">
        <v>6</v>
      </c>
      <c r="I60" s="1" t="s">
        <v>67</v>
      </c>
      <c r="J60" s="1"/>
      <c r="K60" s="1"/>
      <c r="L60" s="1"/>
    </row>
    <row r="62" spans="8:12" x14ac:dyDescent="0.3">
      <c r="H62" t="s">
        <v>11</v>
      </c>
      <c r="I62" s="8" t="s">
        <v>59</v>
      </c>
      <c r="J62" s="8" t="s">
        <v>60</v>
      </c>
      <c r="K62" s="8" t="s">
        <v>61</v>
      </c>
      <c r="L62" s="8" t="s">
        <v>73</v>
      </c>
    </row>
    <row r="63" spans="8:12" x14ac:dyDescent="0.3">
      <c r="I63" s="6" t="s">
        <v>62</v>
      </c>
      <c r="J63" s="6">
        <v>10</v>
      </c>
      <c r="K63" s="6">
        <v>10</v>
      </c>
      <c r="L63" s="27" t="str">
        <f t="shared" ref="L63:L65" si="2">IF(J63&gt;K63,"Exceeded",   "OK")</f>
        <v>OK</v>
      </c>
    </row>
    <row r="64" spans="8:12" x14ac:dyDescent="0.3">
      <c r="I64" s="6" t="s">
        <v>63</v>
      </c>
      <c r="J64" s="6">
        <v>8</v>
      </c>
      <c r="K64" s="6">
        <v>12</v>
      </c>
      <c r="L64" s="27" t="str">
        <f t="shared" si="2"/>
        <v>OK</v>
      </c>
    </row>
    <row r="65" spans="8:13" x14ac:dyDescent="0.3">
      <c r="I65" s="6" t="s">
        <v>64</v>
      </c>
      <c r="J65" s="6">
        <v>15</v>
      </c>
      <c r="K65" s="6">
        <v>12</v>
      </c>
      <c r="L65" s="27" t="str">
        <f t="shared" si="2"/>
        <v>Exceeded</v>
      </c>
    </row>
    <row r="67" spans="8:13" x14ac:dyDescent="0.3">
      <c r="I67" s="16" t="s">
        <v>65</v>
      </c>
      <c r="J67" s="16"/>
      <c r="K67" s="16"/>
      <c r="L67" s="16"/>
      <c r="M67" s="16"/>
    </row>
    <row r="68" spans="8:13" x14ac:dyDescent="0.3">
      <c r="I68" s="16" t="s">
        <v>66</v>
      </c>
      <c r="J68" s="16"/>
      <c r="K68" s="16"/>
      <c r="L68" s="16"/>
      <c r="M68" s="16"/>
    </row>
    <row r="69" spans="8:13" ht="15.6" customHeight="1" x14ac:dyDescent="0.3"/>
    <row r="70" spans="8:13" x14ac:dyDescent="0.3">
      <c r="H70" t="s">
        <v>71</v>
      </c>
      <c r="I70" s="4" t="s">
        <v>74</v>
      </c>
      <c r="J70" s="4"/>
      <c r="K7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E3FD-F8AD-4DC7-A7E8-D7C6063B8DF4}">
  <dimension ref="I4:Q23"/>
  <sheetViews>
    <sheetView topLeftCell="A4" workbookViewId="0">
      <selection activeCell="I15" sqref="I15"/>
    </sheetView>
  </sheetViews>
  <sheetFormatPr defaultRowHeight="14.4" x14ac:dyDescent="0.3"/>
  <cols>
    <col min="11" max="11" width="11.5546875" customWidth="1"/>
  </cols>
  <sheetData>
    <row r="4" spans="9:17" x14ac:dyDescent="0.3">
      <c r="I4">
        <v>7</v>
      </c>
      <c r="J4" s="16" t="s">
        <v>54</v>
      </c>
      <c r="K4" s="16"/>
      <c r="L4" s="16"/>
      <c r="M4" s="16"/>
      <c r="N4" s="16"/>
      <c r="O4" s="16"/>
    </row>
    <row r="6" spans="9:17" x14ac:dyDescent="0.3">
      <c r="I6" t="s">
        <v>69</v>
      </c>
      <c r="J6" s="8" t="s">
        <v>33</v>
      </c>
      <c r="K6" s="8" t="s">
        <v>51</v>
      </c>
    </row>
    <row r="7" spans="9:17" x14ac:dyDescent="0.3">
      <c r="J7" s="6" t="s">
        <v>43</v>
      </c>
      <c r="K7" s="18">
        <v>55000</v>
      </c>
      <c r="M7" s="4" t="s">
        <v>72</v>
      </c>
      <c r="N7" s="4">
        <f>INDEX(K6:K10, MATCH("E105", J6:J10, 0))</f>
        <v>72000</v>
      </c>
      <c r="O7" s="4"/>
      <c r="P7" s="4"/>
    </row>
    <row r="8" spans="9:17" x14ac:dyDescent="0.3">
      <c r="J8" s="6" t="s">
        <v>52</v>
      </c>
      <c r="K8" s="18">
        <v>72000</v>
      </c>
      <c r="M8" s="4" t="s">
        <v>75</v>
      </c>
      <c r="N8" s="4"/>
      <c r="O8" s="4"/>
      <c r="P8" s="4"/>
    </row>
    <row r="9" spans="9:17" x14ac:dyDescent="0.3">
      <c r="J9" s="6" t="s">
        <v>53</v>
      </c>
      <c r="K9" s="18">
        <v>62000</v>
      </c>
    </row>
    <row r="10" spans="9:17" x14ac:dyDescent="0.3">
      <c r="J10" s="6" t="s">
        <v>38</v>
      </c>
      <c r="K10" s="18">
        <v>41000</v>
      </c>
    </row>
    <row r="13" spans="9:17" x14ac:dyDescent="0.3">
      <c r="I13">
        <v>8</v>
      </c>
      <c r="J13" s="1" t="s">
        <v>55</v>
      </c>
      <c r="K13" s="1"/>
      <c r="L13" s="1"/>
      <c r="M13" s="1"/>
      <c r="N13" s="1"/>
      <c r="O13" s="1"/>
      <c r="P13" s="1"/>
      <c r="Q13" s="1"/>
    </row>
    <row r="15" spans="9:17" x14ac:dyDescent="0.3">
      <c r="I15" t="s">
        <v>76</v>
      </c>
    </row>
    <row r="16" spans="9:17" x14ac:dyDescent="0.3">
      <c r="J16" s="8" t="s">
        <v>33</v>
      </c>
      <c r="K16" s="8" t="s">
        <v>35</v>
      </c>
    </row>
    <row r="17" spans="10:13" x14ac:dyDescent="0.3">
      <c r="J17" s="6" t="s">
        <v>36</v>
      </c>
      <c r="K17" s="6" t="s">
        <v>39</v>
      </c>
    </row>
    <row r="18" spans="10:13" x14ac:dyDescent="0.3">
      <c r="J18" s="6" t="s">
        <v>56</v>
      </c>
      <c r="K18" s="6" t="s">
        <v>37</v>
      </c>
    </row>
    <row r="19" spans="10:13" x14ac:dyDescent="0.3">
      <c r="J19" s="6" t="s">
        <v>53</v>
      </c>
      <c r="K19" s="6" t="s">
        <v>17</v>
      </c>
    </row>
    <row r="20" spans="10:13" x14ac:dyDescent="0.3">
      <c r="J20" s="6" t="s">
        <v>57</v>
      </c>
      <c r="K20" s="6" t="s">
        <v>42</v>
      </c>
    </row>
    <row r="22" spans="10:13" x14ac:dyDescent="0.3">
      <c r="J22" s="4" t="s">
        <v>46</v>
      </c>
      <c r="K22" s="4" t="str">
        <f>_xlfn.XLOOKUP("E303",J16:J20,K16:K20)</f>
        <v>IT</v>
      </c>
      <c r="L22" s="4"/>
      <c r="M22" s="4"/>
    </row>
    <row r="23" spans="10:13" x14ac:dyDescent="0.3">
      <c r="J23" s="4" t="s">
        <v>58</v>
      </c>
      <c r="K23" s="4"/>
      <c r="L23" s="4"/>
      <c r="M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Khare</dc:creator>
  <cp:lastModifiedBy>Shreyash Khare</cp:lastModifiedBy>
  <dcterms:created xsi:type="dcterms:W3CDTF">2026-01-14T08:53:46Z</dcterms:created>
  <dcterms:modified xsi:type="dcterms:W3CDTF">2026-01-15T14:13:32Z</dcterms:modified>
</cp:coreProperties>
</file>